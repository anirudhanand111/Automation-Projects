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/>
  <workbookPr defaultThemeVersion="166925"/>
  <mc:AlternateContent xmlns:mc="http://schemas.openxmlformats.org/markup-compatibility/2006">
    <mc:Choice Requires="x15">
      <x15ac:absPath xmlns:x15ac="http://schemas.microsoft.com/office/spreadsheetml/2010/11/ac" url="D:\Excel work\FINAL TEMP AND CALC FILE\Recieved Data templets\"/>
    </mc:Choice>
  </mc:AlternateContent>
  <xr:revisionPtr revIDLastSave="0" documentId="8_{63A65C86-BCE5-4362-A019-F8FC34DA4A45}" xr6:coauthVersionLast="47" xr6:coauthVersionMax="47" xr10:uidLastSave="{00000000-0000-0000-0000-000000000000}"/>
  <bookViews>
    <workbookView xWindow="-108" yWindow="-108" windowWidth="23256" windowHeight="12456" xr2:uid="{2AAF293F-EE4C-4D0F-8D7C-0298F4AD3455}"/>
  </bookViews>
  <sheets>
    <sheet name="Temp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80" i="1" l="1"/>
  <c r="E80" i="1"/>
  <c r="F80" i="1"/>
  <c r="G80" i="1"/>
  <c r="C80" i="1"/>
</calcChain>
</file>

<file path=xl/sharedStrings.xml><?xml version="1.0" encoding="utf-8"?>
<sst xmlns="http://schemas.openxmlformats.org/spreadsheetml/2006/main" count="86" uniqueCount="83">
  <si>
    <t>Company Name</t>
  </si>
  <si>
    <t>Currency</t>
  </si>
  <si>
    <t>Country</t>
  </si>
  <si>
    <t>Company size</t>
  </si>
  <si>
    <t>Payments</t>
  </si>
  <si>
    <t>Credit Rating</t>
  </si>
  <si>
    <t>Legal Form</t>
  </si>
  <si>
    <t>Start date</t>
  </si>
  <si>
    <t>Capital</t>
  </si>
  <si>
    <t>Value of Share</t>
  </si>
  <si>
    <t>Activity</t>
  </si>
  <si>
    <t>Managing Director commencement</t>
  </si>
  <si>
    <t>Financial Year</t>
  </si>
  <si>
    <t>Balance Sheet</t>
  </si>
  <si>
    <t>Stocks</t>
  </si>
  <si>
    <t>Debtors</t>
  </si>
  <si>
    <t>Cash &amp; Cash equivalent</t>
  </si>
  <si>
    <t>Other Current Assets</t>
  </si>
  <si>
    <t>Current Assets</t>
  </si>
  <si>
    <t>Intangible Fixed Assets</t>
  </si>
  <si>
    <t>Tangible Fixed Assets</t>
  </si>
  <si>
    <t>Other Fixed Assets (incl Financial Fixed Assets)</t>
  </si>
  <si>
    <t>Fixed Assets</t>
  </si>
  <si>
    <t>Total Assets</t>
  </si>
  <si>
    <t>Othe Shareholders Funds (Incl Reserves)</t>
  </si>
  <si>
    <t>Shareholders Funds</t>
  </si>
  <si>
    <t>Loan</t>
  </si>
  <si>
    <t>Creditors</t>
  </si>
  <si>
    <t>Other Current Liabilitues</t>
  </si>
  <si>
    <t>Current Liabilities</t>
  </si>
  <si>
    <t>Non Current Liabilities</t>
  </si>
  <si>
    <t>Total Shareholders Funds and Liabilities</t>
  </si>
  <si>
    <t>Working capital</t>
  </si>
  <si>
    <t>Income Statement</t>
  </si>
  <si>
    <t>Revenue / Turnover</t>
  </si>
  <si>
    <t>Cost of Goods sold</t>
  </si>
  <si>
    <t>Cost of Sales</t>
  </si>
  <si>
    <t>Gross profit</t>
  </si>
  <si>
    <t>Administrative expenses</t>
  </si>
  <si>
    <t>Sales expenses</t>
  </si>
  <si>
    <t>Subscriptions</t>
  </si>
  <si>
    <t>Total Operating expenses</t>
  </si>
  <si>
    <t>EBITDA</t>
  </si>
  <si>
    <t>Financial revenue</t>
  </si>
  <si>
    <t>Interest / Financial expenses</t>
  </si>
  <si>
    <t>Depreciation</t>
  </si>
  <si>
    <t>Amortisation</t>
  </si>
  <si>
    <t>EBT</t>
  </si>
  <si>
    <t>EAT</t>
  </si>
  <si>
    <t>Cash Flow</t>
  </si>
  <si>
    <t>Profit for the year</t>
  </si>
  <si>
    <t>Net cash used in operating activities</t>
  </si>
  <si>
    <t>Net cash used in investment activities</t>
  </si>
  <si>
    <t>Cash from financing activities</t>
  </si>
  <si>
    <t>Cash and cash equivalent at beginning of period</t>
  </si>
  <si>
    <t>Increase (Decrease) in Cash and Cash Equivalent</t>
  </si>
  <si>
    <t>Cash and Cash equivalent at end of peiod</t>
  </si>
  <si>
    <t>Schedule for Cash flow</t>
  </si>
  <si>
    <t>Working Capital Schedule</t>
  </si>
  <si>
    <t>Accounts Receivable</t>
  </si>
  <si>
    <t>Inventory</t>
  </si>
  <si>
    <t>Accounts Payable</t>
  </si>
  <si>
    <t>Other current liabilities</t>
  </si>
  <si>
    <t>Net Working Capital (NWC)</t>
  </si>
  <si>
    <t>Change in NWC</t>
  </si>
  <si>
    <t>Depreciation Schedule</t>
  </si>
  <si>
    <t>PPE Opening</t>
  </si>
  <si>
    <t>Plus Capex</t>
  </si>
  <si>
    <t>Less Depreciation</t>
  </si>
  <si>
    <t>PPE Closing</t>
  </si>
  <si>
    <t>Debt &amp; Interest Schedule</t>
  </si>
  <si>
    <t>Debt Opening</t>
  </si>
  <si>
    <t>Issuance (Repayment)</t>
  </si>
  <si>
    <t>Debt Closing Interest Expense</t>
  </si>
  <si>
    <t xml:space="preserve">TAX </t>
  </si>
  <si>
    <t>Shares</t>
  </si>
  <si>
    <t>No. of outstanding Shares</t>
  </si>
  <si>
    <t>usd</t>
  </si>
  <si>
    <t>Large</t>
  </si>
  <si>
    <t>Ship Building</t>
  </si>
  <si>
    <t>No Defaults</t>
  </si>
  <si>
    <t>INDIA</t>
  </si>
  <si>
    <t>Art Science and TECH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</si>
</sst>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 &quot;₹&quot;\ * #,##0.00_ ;_ &quot;₹&quot;\ * \-#,##0.00_ ;_ &quot;₹&quot;\ * &quot;-&quot;??_ ;_ @_ "/>
    <numFmt numFmtId="43" formatCode="_ * #,##0.00_ ;_ * \-#,##0.00_ ;_ * &quot;-&quot;??_ ;_ @_ "/>
    <numFmt numFmtId="164" formatCode="[$-F800]dddd\,\ mmmm\ dd\,\ yyyy"/>
    <numFmt numFmtId="165" formatCode="[$-14009]dd\ mmmm\ yyyy;@"/>
    <numFmt numFmtId="166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/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horizontal="center" vertical="center"/>
    </xf>
    <xf numFmtId="0" fontId="0" fillId="0" borderId="1" xfId="0" applyBorder="1" applyProtection="1">
      <protection locked="0"/>
    </xf>
    <xf numFmtId="0" fontId="4" fillId="0" borderId="1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164" fontId="0" fillId="0" borderId="1" xfId="0" applyNumberFormat="1" applyBorder="1" applyProtection="1">
      <protection locked="0"/>
    </xf>
    <xf numFmtId="165" fontId="0" fillId="0" borderId="1" xfId="0" applyNumberFormat="1" applyBorder="1" applyProtection="1">
      <protection locked="0"/>
    </xf>
    <xf numFmtId="43" fontId="0" fillId="0" borderId="1" xfId="1" applyNumberFormat="1" applyFont="1" applyBorder="1" applyProtection="1">
      <protection locked="0"/>
    </xf>
    <xf numFmtId="43" fontId="0" fillId="0" borderId="1" xfId="0" applyNumberFormat="1" applyBorder="1" applyProtection="1">
      <protection locked="0"/>
    </xf>
    <xf numFmtId="43" fontId="0" fillId="0" borderId="0" xfId="0" applyNumberFormat="1" applyBorder="1"/>
    <xf numFmtId="0" fontId="3" fillId="0" borderId="5" xfId="0" applyFont="1" applyBorder="1" applyAlignment="1">
      <alignment horizontal="center" vertical="center"/>
    </xf>
    <xf numFmtId="0" fontId="0" fillId="0" borderId="0" xfId="0" applyBorder="1"/>
    <xf numFmtId="1" fontId="0" fillId="0" borderId="1" xfId="0" applyNumberFormat="1" applyBorder="1"/>
    <xf numFmtId="166" fontId="0" fillId="0" borderId="0" xfId="2" applyNumberFormat="1" applyFont="1" applyProtection="1">
      <protection locked="0"/>
    </xf>
    <xf numFmtId="14" fontId="0" fillId="0" borderId="1" xfId="0" applyNumberFormat="1" applyBorder="1" applyProtection="1">
      <protection locked="0"/>
    </xf>
    <xf numFmtId="166" fontId="0" fillId="0" borderId="1" xfId="0" applyNumberFormat="1" applyBorder="1" applyProtection="1">
      <protection locked="0"/>
    </xf>
    <xf numFmtId="0" fontId="0" fillId="0" borderId="1" xfId="0" applyBorder="1"/>
  </cellXfs>
  <cellStyles count="3">
    <cellStyle name="Comma" xfId="2" builtinId="3"/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53256-3788-42F3-88F3-0908A2AE7AFC}">
  <dimension ref="A1:G81"/>
  <sheetViews>
    <sheetView showGridLines="0" tabSelected="1" workbookViewId="0">
      <selection activeCell="B1" sqref="B1"/>
    </sheetView>
  </sheetViews>
  <sheetFormatPr defaultRowHeight="14.4" x14ac:dyDescent="0.3"/>
  <cols>
    <col min="1" max="1" width="45.5546875" style="2" customWidth="1"/>
    <col min="2" max="2" width="53.33203125" customWidth="1"/>
    <col min="3" max="7" width="18.109375" customWidth="1"/>
  </cols>
  <sheetData>
    <row r="1" spans="1:7" x14ac:dyDescent="0.3">
      <c r="A1" s="8" t="s">
        <v>0</v>
      </c>
      <c r="B1" s="7" t="s">
        <v>82</v>
      </c>
    </row>
    <row r="2" spans="1:7" x14ac:dyDescent="0.3">
      <c r="A2" s="8" t="s">
        <v>1</v>
      </c>
      <c r="B2" s="7" t="s">
        <v>77</v>
      </c>
    </row>
    <row r="3" spans="1:7" x14ac:dyDescent="0.3">
      <c r="A3" s="8" t="s">
        <v>2</v>
      </c>
      <c r="B3" s="7" t="s">
        <v>81</v>
      </c>
    </row>
    <row r="4" spans="1:7" x14ac:dyDescent="0.3">
      <c r="A4" s="8" t="s">
        <v>3</v>
      </c>
      <c r="B4" s="7" t="s">
        <v>78</v>
      </c>
    </row>
    <row r="5" spans="1:7" x14ac:dyDescent="0.3">
      <c r="A5" s="8" t="s">
        <v>4</v>
      </c>
      <c r="B5" s="7"/>
    </row>
    <row r="6" spans="1:7" x14ac:dyDescent="0.3">
      <c r="A6" s="8" t="s">
        <v>5</v>
      </c>
      <c r="B6" s="21" t="s">
        <v>80</v>
      </c>
    </row>
    <row r="7" spans="1:7" x14ac:dyDescent="0.3">
      <c r="A7" s="8" t="s">
        <v>6</v>
      </c>
      <c r="B7" s="7"/>
    </row>
    <row r="8" spans="1:7" x14ac:dyDescent="0.3">
      <c r="A8" s="8" t="s">
        <v>7</v>
      </c>
      <c r="B8" s="11">
        <v>34954</v>
      </c>
    </row>
    <row r="9" spans="1:7" x14ac:dyDescent="0.3">
      <c r="A9" s="8" t="s">
        <v>8</v>
      </c>
      <c r="B9" s="18">
        <v>1992000</v>
      </c>
    </row>
    <row r="10" spans="1:7" x14ac:dyDescent="0.3">
      <c r="A10" s="8" t="s">
        <v>9</v>
      </c>
      <c r="B10" s="12">
        <v>150</v>
      </c>
    </row>
    <row r="11" spans="1:7" x14ac:dyDescent="0.3">
      <c r="A11" s="8" t="s">
        <v>10</v>
      </c>
      <c r="B11" s="7" t="s">
        <v>79</v>
      </c>
    </row>
    <row r="12" spans="1:7" ht="15" thickBot="1" x14ac:dyDescent="0.35">
      <c r="A12" s="9" t="s">
        <v>11</v>
      </c>
      <c r="B12" s="10">
        <v>42005</v>
      </c>
    </row>
    <row r="13" spans="1:7" ht="15" thickBot="1" x14ac:dyDescent="0.35">
      <c r="A13" s="6" t="s">
        <v>13</v>
      </c>
    </row>
    <row r="14" spans="1:7" s="1" customFormat="1" x14ac:dyDescent="0.3">
      <c r="A14" s="5" t="s">
        <v>12</v>
      </c>
      <c r="C14" s="19">
        <v>44377</v>
      </c>
      <c r="D14" s="19">
        <v>44012</v>
      </c>
      <c r="E14" s="19">
        <v>43646</v>
      </c>
      <c r="F14" s="19">
        <v>43281</v>
      </c>
      <c r="G14" s="19">
        <v>42916</v>
      </c>
    </row>
    <row r="15" spans="1:7" x14ac:dyDescent="0.3">
      <c r="A15" s="3" t="s">
        <v>14</v>
      </c>
      <c r="C15" s="20">
        <v>14449000</v>
      </c>
      <c r="D15" s="20">
        <v>11283000</v>
      </c>
      <c r="E15" s="20">
        <v>19679000</v>
      </c>
      <c r="F15" s="20">
        <v>15743000</v>
      </c>
      <c r="G15" s="20">
        <v>65025000</v>
      </c>
    </row>
    <row r="16" spans="1:7" x14ac:dyDescent="0.3">
      <c r="A16" s="3" t="s">
        <v>15</v>
      </c>
      <c r="C16" s="13">
        <v>434650000</v>
      </c>
      <c r="D16" s="13">
        <v>377831000</v>
      </c>
      <c r="E16" s="13">
        <v>444088000</v>
      </c>
      <c r="F16" s="13">
        <v>360317000</v>
      </c>
      <c r="G16" s="13">
        <v>342482000</v>
      </c>
    </row>
    <row r="17" spans="1:7" x14ac:dyDescent="0.3">
      <c r="A17" s="3" t="s">
        <v>16</v>
      </c>
      <c r="C17" s="13">
        <v>16632000</v>
      </c>
      <c r="D17" s="13">
        <v>18706000</v>
      </c>
      <c r="E17" s="13">
        <v>4909000</v>
      </c>
      <c r="F17" s="13">
        <v>4909000</v>
      </c>
      <c r="G17" s="13">
        <v>28565000</v>
      </c>
    </row>
    <row r="18" spans="1:7" x14ac:dyDescent="0.3">
      <c r="A18" s="3" t="s">
        <v>17</v>
      </c>
      <c r="C18" s="13">
        <v>194841000</v>
      </c>
      <c r="D18" s="13">
        <v>216689000</v>
      </c>
      <c r="E18" s="13">
        <v>264420000</v>
      </c>
      <c r="F18" s="13">
        <v>316991000</v>
      </c>
      <c r="G18" s="13">
        <v>410035000</v>
      </c>
    </row>
    <row r="19" spans="1:7" x14ac:dyDescent="0.3">
      <c r="A19" s="3" t="s">
        <v>18</v>
      </c>
      <c r="C19" s="13">
        <v>660572000</v>
      </c>
      <c r="D19" s="13">
        <v>624509000</v>
      </c>
      <c r="E19" s="13">
        <v>733096000</v>
      </c>
      <c r="F19" s="13">
        <v>697960000</v>
      </c>
      <c r="G19" s="13">
        <v>846107000</v>
      </c>
    </row>
    <row r="20" spans="1:7" x14ac:dyDescent="0.3">
      <c r="A20" s="3" t="s">
        <v>19</v>
      </c>
      <c r="C20" s="13">
        <v>367000</v>
      </c>
      <c r="D20" s="13">
        <v>632000</v>
      </c>
      <c r="E20" s="13">
        <v>1332000</v>
      </c>
      <c r="F20" s="13">
        <v>2227000</v>
      </c>
      <c r="G20" s="13">
        <v>2663000</v>
      </c>
    </row>
    <row r="21" spans="1:7" x14ac:dyDescent="0.3">
      <c r="A21" s="3" t="s">
        <v>20</v>
      </c>
      <c r="C21" s="13">
        <v>151051000</v>
      </c>
      <c r="D21" s="13">
        <v>159673000</v>
      </c>
      <c r="E21" s="13">
        <v>192370000</v>
      </c>
      <c r="F21" s="13">
        <v>216331000</v>
      </c>
      <c r="G21" s="13">
        <v>286952000</v>
      </c>
    </row>
    <row r="22" spans="1:7" x14ac:dyDescent="0.3">
      <c r="A22" s="3" t="s">
        <v>21</v>
      </c>
      <c r="C22" s="13">
        <v>39310000</v>
      </c>
      <c r="D22" s="13">
        <v>40204000</v>
      </c>
      <c r="E22" s="13">
        <v>50188000</v>
      </c>
      <c r="F22" s="13">
        <v>21767000</v>
      </c>
      <c r="G22" s="13">
        <v>24107000</v>
      </c>
    </row>
    <row r="23" spans="1:7" x14ac:dyDescent="0.3">
      <c r="A23" s="3" t="s">
        <v>22</v>
      </c>
      <c r="C23" s="13">
        <v>190728000</v>
      </c>
      <c r="D23" s="13">
        <v>200509000</v>
      </c>
      <c r="E23" s="13">
        <v>243890000</v>
      </c>
      <c r="F23" s="13">
        <v>240325000</v>
      </c>
      <c r="G23" s="13">
        <v>313722000</v>
      </c>
    </row>
    <row r="24" spans="1:7" x14ac:dyDescent="0.3">
      <c r="A24" s="3" t="s">
        <v>23</v>
      </c>
      <c r="C24" s="13">
        <v>851300000</v>
      </c>
      <c r="D24" s="13">
        <v>825018000</v>
      </c>
      <c r="E24" s="13">
        <v>976986000</v>
      </c>
      <c r="F24" s="13">
        <v>938285000</v>
      </c>
      <c r="G24" s="13">
        <v>1159829000</v>
      </c>
    </row>
    <row r="25" spans="1:7" x14ac:dyDescent="0.3">
      <c r="A25" s="3" t="s">
        <v>8</v>
      </c>
      <c r="C25" s="13">
        <v>211992000</v>
      </c>
      <c r="D25" s="13">
        <v>211992000</v>
      </c>
      <c r="E25" s="13">
        <v>211992000</v>
      </c>
      <c r="F25" s="13">
        <v>211992000</v>
      </c>
      <c r="G25" s="13">
        <v>211992000</v>
      </c>
    </row>
    <row r="26" spans="1:7" x14ac:dyDescent="0.3">
      <c r="A26" s="3" t="s">
        <v>24</v>
      </c>
      <c r="C26" s="13">
        <v>-3075000</v>
      </c>
      <c r="D26" s="13">
        <v>7158000</v>
      </c>
      <c r="E26" s="13">
        <v>28850000</v>
      </c>
      <c r="F26" s="13">
        <v>11458000</v>
      </c>
      <c r="G26" s="13">
        <v>289684000</v>
      </c>
    </row>
    <row r="27" spans="1:7" x14ac:dyDescent="0.3">
      <c r="A27" s="3" t="s">
        <v>25</v>
      </c>
      <c r="C27" s="13">
        <v>208917000</v>
      </c>
      <c r="D27" s="13">
        <v>219150000</v>
      </c>
      <c r="E27" s="13">
        <v>240842000</v>
      </c>
      <c r="F27" s="13">
        <v>223450000</v>
      </c>
      <c r="G27" s="13">
        <v>501676000</v>
      </c>
    </row>
    <row r="28" spans="1:7" x14ac:dyDescent="0.3">
      <c r="A28" s="3" t="s">
        <v>26</v>
      </c>
      <c r="C28" s="13">
        <v>259095000</v>
      </c>
      <c r="D28" s="13">
        <v>211245000</v>
      </c>
      <c r="E28" s="13">
        <v>288877000</v>
      </c>
      <c r="F28" s="13">
        <v>338496000</v>
      </c>
      <c r="G28" s="13">
        <v>103477000</v>
      </c>
    </row>
    <row r="29" spans="1:7" x14ac:dyDescent="0.3">
      <c r="A29" s="3" t="s">
        <v>27</v>
      </c>
      <c r="C29" s="13">
        <v>187531000</v>
      </c>
      <c r="D29" s="13">
        <v>198185000</v>
      </c>
      <c r="E29" s="13">
        <v>185208000</v>
      </c>
      <c r="F29" s="13">
        <v>220608000</v>
      </c>
      <c r="G29" s="13">
        <v>379335000</v>
      </c>
    </row>
    <row r="30" spans="1:7" x14ac:dyDescent="0.3">
      <c r="A30" s="3" t="s">
        <v>28</v>
      </c>
      <c r="C30" s="13">
        <v>140051000</v>
      </c>
      <c r="D30" s="13">
        <v>137657000</v>
      </c>
      <c r="E30" s="13">
        <v>186594000</v>
      </c>
      <c r="F30" s="13">
        <v>105666000</v>
      </c>
      <c r="G30" s="13">
        <v>97016000</v>
      </c>
    </row>
    <row r="31" spans="1:7" x14ac:dyDescent="0.3">
      <c r="A31" s="3" t="s">
        <v>29</v>
      </c>
      <c r="C31" s="13">
        <v>586677000</v>
      </c>
      <c r="D31" s="13">
        <v>547087000</v>
      </c>
      <c r="E31" s="13">
        <v>660679000</v>
      </c>
      <c r="F31" s="13">
        <v>664770000</v>
      </c>
      <c r="G31" s="13">
        <v>579828000</v>
      </c>
    </row>
    <row r="32" spans="1:7" x14ac:dyDescent="0.3">
      <c r="A32" s="3" t="s">
        <v>30</v>
      </c>
      <c r="C32" s="13">
        <v>55706000</v>
      </c>
      <c r="D32" s="13">
        <v>58781000</v>
      </c>
      <c r="E32" s="13">
        <v>75465000</v>
      </c>
      <c r="F32" s="13">
        <v>50065000</v>
      </c>
      <c r="G32" s="13">
        <v>78305000</v>
      </c>
    </row>
    <row r="33" spans="1:7" x14ac:dyDescent="0.3">
      <c r="A33" s="3" t="s">
        <v>31</v>
      </c>
      <c r="C33" s="13">
        <v>851300000</v>
      </c>
      <c r="D33" s="13">
        <v>825018000</v>
      </c>
      <c r="E33" s="13">
        <v>976986000</v>
      </c>
      <c r="F33" s="13">
        <v>938285000</v>
      </c>
      <c r="G33" s="13">
        <v>1159809000</v>
      </c>
    </row>
    <row r="34" spans="1:7" ht="15" thickBot="1" x14ac:dyDescent="0.35">
      <c r="A34" s="4" t="s">
        <v>32</v>
      </c>
      <c r="C34" s="13"/>
      <c r="D34" s="13"/>
      <c r="E34" s="13"/>
      <c r="F34" s="13"/>
      <c r="G34" s="13"/>
    </row>
    <row r="35" spans="1:7" ht="15" thickBot="1" x14ac:dyDescent="0.35">
      <c r="A35" s="6" t="s">
        <v>33</v>
      </c>
      <c r="C35" s="14"/>
      <c r="D35" s="14"/>
      <c r="E35" s="14"/>
      <c r="F35" s="14"/>
      <c r="G35" s="14"/>
    </row>
    <row r="36" spans="1:7" x14ac:dyDescent="0.3">
      <c r="A36" s="5" t="s">
        <v>34</v>
      </c>
      <c r="C36" s="13">
        <v>103654000</v>
      </c>
      <c r="D36" s="13">
        <v>254784000</v>
      </c>
      <c r="E36" s="13">
        <v>319730000</v>
      </c>
      <c r="F36" s="13">
        <v>453507000</v>
      </c>
      <c r="G36" s="13">
        <v>712137000</v>
      </c>
    </row>
    <row r="37" spans="1:7" x14ac:dyDescent="0.3">
      <c r="A37" s="3" t="s">
        <v>35</v>
      </c>
      <c r="C37" s="13">
        <v>101103000</v>
      </c>
      <c r="D37" s="13">
        <v>234699000</v>
      </c>
      <c r="E37" s="13">
        <v>258114000</v>
      </c>
      <c r="F37" s="13">
        <v>292006000</v>
      </c>
      <c r="G37" s="13">
        <v>435022000</v>
      </c>
    </row>
    <row r="38" spans="1:7" x14ac:dyDescent="0.3">
      <c r="A38" s="3" t="s">
        <v>36</v>
      </c>
      <c r="C38" s="13">
        <v>101103000</v>
      </c>
      <c r="D38" s="13">
        <v>234699000</v>
      </c>
      <c r="E38" s="13">
        <v>258114000</v>
      </c>
      <c r="F38" s="13">
        <v>292006000</v>
      </c>
      <c r="G38" s="13">
        <v>435022000</v>
      </c>
    </row>
    <row r="39" spans="1:7" x14ac:dyDescent="0.3">
      <c r="A39" s="3" t="s">
        <v>37</v>
      </c>
      <c r="C39" s="13">
        <v>2551000</v>
      </c>
      <c r="D39" s="13">
        <v>20085000</v>
      </c>
      <c r="E39" s="13">
        <v>61616000</v>
      </c>
      <c r="F39" s="13">
        <v>161501000</v>
      </c>
      <c r="G39" s="13">
        <v>277115000</v>
      </c>
    </row>
    <row r="40" spans="1:7" x14ac:dyDescent="0.3">
      <c r="A40" s="3" t="s">
        <v>38</v>
      </c>
      <c r="C40" s="13"/>
      <c r="D40" s="13"/>
      <c r="E40" s="13"/>
      <c r="F40" s="13"/>
      <c r="G40" s="13"/>
    </row>
    <row r="41" spans="1:7" x14ac:dyDescent="0.3">
      <c r="A41" s="3" t="s">
        <v>39</v>
      </c>
      <c r="C41" s="13"/>
      <c r="D41" s="13"/>
      <c r="E41" s="13"/>
      <c r="F41" s="13"/>
      <c r="G41" s="13"/>
    </row>
    <row r="42" spans="1:7" x14ac:dyDescent="0.3">
      <c r="A42" s="3" t="s">
        <v>40</v>
      </c>
      <c r="C42" s="13"/>
      <c r="D42" s="13"/>
      <c r="E42" s="13"/>
      <c r="F42" s="13"/>
      <c r="G42" s="13"/>
    </row>
    <row r="43" spans="1:7" x14ac:dyDescent="0.3">
      <c r="A43" s="3" t="s">
        <v>41</v>
      </c>
      <c r="C43" s="13">
        <v>30106000</v>
      </c>
      <c r="D43" s="13">
        <v>61774000</v>
      </c>
      <c r="E43" s="13">
        <v>63647000</v>
      </c>
      <c r="F43" s="13">
        <v>224490000</v>
      </c>
      <c r="G43" s="13">
        <v>194663000</v>
      </c>
    </row>
    <row r="44" spans="1:7" x14ac:dyDescent="0.3">
      <c r="A44" s="3" t="s">
        <v>42</v>
      </c>
      <c r="C44" s="13">
        <v>-27555000</v>
      </c>
      <c r="D44" s="13">
        <v>-41689000</v>
      </c>
      <c r="E44" s="13">
        <v>-2031000</v>
      </c>
      <c r="F44" s="13">
        <v>-62989000</v>
      </c>
      <c r="G44" s="13">
        <v>82452000</v>
      </c>
    </row>
    <row r="45" spans="1:7" x14ac:dyDescent="0.3">
      <c r="A45" s="3" t="s">
        <v>43</v>
      </c>
      <c r="C45" s="13">
        <v>17322000</v>
      </c>
      <c r="D45" s="13">
        <v>19997000</v>
      </c>
      <c r="E45" s="13">
        <v>-1762000</v>
      </c>
      <c r="F45" s="13">
        <v>-62159000</v>
      </c>
      <c r="G45" s="13">
        <v>22342000</v>
      </c>
    </row>
    <row r="46" spans="1:7" x14ac:dyDescent="0.3">
      <c r="A46" s="3" t="s">
        <v>44</v>
      </c>
      <c r="C46" s="13"/>
      <c r="D46" s="13"/>
      <c r="E46" s="13"/>
      <c r="F46" s="13"/>
      <c r="G46" s="13"/>
    </row>
    <row r="47" spans="1:7" x14ac:dyDescent="0.3">
      <c r="A47" s="3" t="s">
        <v>45</v>
      </c>
      <c r="C47" s="13"/>
      <c r="D47" s="13"/>
      <c r="E47" s="13"/>
      <c r="F47" s="13"/>
      <c r="G47" s="13"/>
    </row>
    <row r="48" spans="1:7" ht="15" thickBot="1" x14ac:dyDescent="0.35">
      <c r="A48" s="4" t="s">
        <v>46</v>
      </c>
      <c r="C48" s="13"/>
      <c r="D48" s="13"/>
      <c r="E48" s="13"/>
      <c r="F48" s="13"/>
      <c r="G48" s="13"/>
    </row>
    <row r="49" spans="1:7" ht="15" thickBot="1" x14ac:dyDescent="0.35">
      <c r="A49" s="6" t="s">
        <v>74</v>
      </c>
      <c r="C49" s="14"/>
      <c r="D49" s="14"/>
      <c r="E49" s="14"/>
      <c r="F49" s="14"/>
      <c r="G49" s="14"/>
    </row>
    <row r="50" spans="1:7" x14ac:dyDescent="0.3">
      <c r="A50" s="5" t="s">
        <v>47</v>
      </c>
      <c r="C50" s="13">
        <v>-10233000</v>
      </c>
      <c r="D50" s="13">
        <v>-21692000</v>
      </c>
      <c r="E50" s="13">
        <v>-3793000</v>
      </c>
      <c r="F50" s="13">
        <v>-125148000</v>
      </c>
      <c r="G50" s="13">
        <v>104794000</v>
      </c>
    </row>
    <row r="51" spans="1:7" ht="15" thickBot="1" x14ac:dyDescent="0.35">
      <c r="A51" s="4" t="s">
        <v>48</v>
      </c>
      <c r="C51" s="13">
        <v>-10233000</v>
      </c>
      <c r="D51" s="13">
        <v>-21692000</v>
      </c>
      <c r="E51" s="13">
        <v>-3793000</v>
      </c>
      <c r="F51" s="13">
        <v>-125148000</v>
      </c>
      <c r="G51" s="13">
        <v>104794000</v>
      </c>
    </row>
    <row r="52" spans="1:7" ht="15" thickBot="1" x14ac:dyDescent="0.35">
      <c r="A52" s="6" t="s">
        <v>49</v>
      </c>
      <c r="C52" s="14"/>
      <c r="D52" s="14"/>
      <c r="E52" s="14"/>
      <c r="F52" s="14"/>
      <c r="G52" s="14"/>
    </row>
    <row r="53" spans="1:7" x14ac:dyDescent="0.3">
      <c r="A53" s="5" t="s">
        <v>50</v>
      </c>
      <c r="C53" s="13">
        <v>-10233000</v>
      </c>
      <c r="D53" s="13">
        <v>-21692000</v>
      </c>
      <c r="E53" s="13">
        <v>-3793000</v>
      </c>
      <c r="F53" s="13">
        <v>-125148000</v>
      </c>
      <c r="G53" s="13">
        <v>104794000</v>
      </c>
    </row>
    <row r="54" spans="1:7" x14ac:dyDescent="0.3">
      <c r="A54" s="3" t="s">
        <v>51</v>
      </c>
      <c r="C54" s="13">
        <v>-78706000</v>
      </c>
      <c r="D54" s="13">
        <v>130199000</v>
      </c>
      <c r="E54" s="13">
        <v>-21105000</v>
      </c>
      <c r="F54" s="13">
        <v>-202809000</v>
      </c>
      <c r="G54" s="13">
        <v>-139443000</v>
      </c>
    </row>
    <row r="55" spans="1:7" x14ac:dyDescent="0.3">
      <c r="A55" s="3" t="s">
        <v>52</v>
      </c>
      <c r="C55" s="13">
        <v>33937000</v>
      </c>
      <c r="D55" s="13">
        <v>-3221000</v>
      </c>
      <c r="E55" s="13">
        <v>-2062000</v>
      </c>
      <c r="F55" s="13">
        <v>-16795000</v>
      </c>
      <c r="G55" s="13">
        <v>-17255000</v>
      </c>
    </row>
    <row r="56" spans="1:7" x14ac:dyDescent="0.3">
      <c r="A56" s="3" t="s">
        <v>53</v>
      </c>
      <c r="C56" s="13">
        <v>-5155000</v>
      </c>
      <c r="D56" s="13">
        <v>-35549000</v>
      </c>
      <c r="E56" s="13">
        <v>72786000</v>
      </c>
      <c r="F56" s="13">
        <v>195948000</v>
      </c>
      <c r="G56" s="13">
        <v>81264000</v>
      </c>
    </row>
    <row r="57" spans="1:7" x14ac:dyDescent="0.3">
      <c r="A57" s="3" t="s">
        <v>54</v>
      </c>
      <c r="C57" s="13">
        <v>-192539000</v>
      </c>
      <c r="D57" s="13">
        <v>-283968000</v>
      </c>
      <c r="E57" s="13">
        <v>-333587000</v>
      </c>
      <c r="F57" s="13">
        <v>28565000</v>
      </c>
      <c r="G57" s="13">
        <v>103999000</v>
      </c>
    </row>
    <row r="58" spans="1:7" x14ac:dyDescent="0.3">
      <c r="A58" s="3" t="s">
        <v>55</v>
      </c>
      <c r="C58" s="13">
        <v>-49924000</v>
      </c>
      <c r="D58" s="13">
        <v>91429000</v>
      </c>
      <c r="E58" s="13">
        <v>49619000</v>
      </c>
      <c r="F58" s="13">
        <v>-23656000</v>
      </c>
      <c r="G58" s="13">
        <v>-75434000</v>
      </c>
    </row>
    <row r="59" spans="1:7" ht="15" thickBot="1" x14ac:dyDescent="0.35">
      <c r="A59" s="4" t="s">
        <v>56</v>
      </c>
      <c r="C59" s="13">
        <v>-242463000</v>
      </c>
      <c r="D59" s="13">
        <v>-192539000</v>
      </c>
      <c r="E59" s="13">
        <v>-283968000</v>
      </c>
      <c r="F59" s="13">
        <v>4909000</v>
      </c>
      <c r="G59" s="13">
        <v>28565000</v>
      </c>
    </row>
    <row r="60" spans="1:7" ht="15" thickBot="1" x14ac:dyDescent="0.35">
      <c r="A60" s="6" t="s">
        <v>57</v>
      </c>
      <c r="C60" s="14"/>
      <c r="D60" s="14"/>
      <c r="E60" s="14"/>
      <c r="F60" s="14"/>
      <c r="G60" s="14"/>
    </row>
    <row r="61" spans="1:7" x14ac:dyDescent="0.3">
      <c r="A61" s="5" t="s">
        <v>58</v>
      </c>
      <c r="C61" s="13"/>
      <c r="D61" s="13"/>
      <c r="E61" s="13"/>
      <c r="F61" s="13"/>
      <c r="G61" s="13"/>
    </row>
    <row r="62" spans="1:7" x14ac:dyDescent="0.3">
      <c r="A62" s="3" t="s">
        <v>59</v>
      </c>
      <c r="C62" s="13"/>
      <c r="D62" s="13"/>
      <c r="E62" s="13"/>
      <c r="F62" s="13"/>
      <c r="G62" s="13"/>
    </row>
    <row r="63" spans="1:7" x14ac:dyDescent="0.3">
      <c r="A63" s="3" t="s">
        <v>60</v>
      </c>
      <c r="C63" s="13"/>
      <c r="D63" s="13"/>
      <c r="E63" s="13"/>
      <c r="F63" s="13"/>
      <c r="G63" s="13"/>
    </row>
    <row r="64" spans="1:7" x14ac:dyDescent="0.3">
      <c r="A64" s="3" t="s">
        <v>17</v>
      </c>
      <c r="C64" s="13"/>
      <c r="D64" s="13"/>
      <c r="E64" s="13"/>
      <c r="F64" s="13"/>
      <c r="G64" s="13"/>
    </row>
    <row r="65" spans="1:7" x14ac:dyDescent="0.3">
      <c r="A65" s="3" t="s">
        <v>61</v>
      </c>
      <c r="C65" s="13"/>
      <c r="D65" s="13"/>
      <c r="E65" s="13"/>
      <c r="F65" s="13"/>
      <c r="G65" s="13"/>
    </row>
    <row r="66" spans="1:7" x14ac:dyDescent="0.3">
      <c r="A66" s="3" t="s">
        <v>62</v>
      </c>
      <c r="C66" s="13"/>
      <c r="D66" s="13"/>
      <c r="E66" s="13"/>
      <c r="F66" s="13"/>
      <c r="G66" s="13"/>
    </row>
    <row r="67" spans="1:7" x14ac:dyDescent="0.3">
      <c r="A67" s="3" t="s">
        <v>63</v>
      </c>
      <c r="C67" s="13"/>
      <c r="D67" s="13"/>
      <c r="E67" s="13"/>
      <c r="F67" s="13"/>
      <c r="G67" s="13"/>
    </row>
    <row r="68" spans="1:7" ht="15" thickBot="1" x14ac:dyDescent="0.35">
      <c r="A68" s="4" t="s">
        <v>64</v>
      </c>
      <c r="C68" s="13"/>
      <c r="D68" s="13"/>
      <c r="E68" s="13"/>
      <c r="F68" s="13"/>
      <c r="G68" s="13"/>
    </row>
    <row r="69" spans="1:7" ht="15" thickBot="1" x14ac:dyDescent="0.35">
      <c r="A69" s="6" t="s">
        <v>65</v>
      </c>
      <c r="C69" s="14"/>
      <c r="D69" s="14"/>
      <c r="E69" s="14"/>
      <c r="F69" s="14"/>
      <c r="G69" s="14"/>
    </row>
    <row r="70" spans="1:7" x14ac:dyDescent="0.3">
      <c r="A70" s="5" t="s">
        <v>66</v>
      </c>
      <c r="C70" s="13"/>
      <c r="D70" s="13"/>
      <c r="E70" s="13"/>
      <c r="F70" s="13"/>
      <c r="G70" s="13"/>
    </row>
    <row r="71" spans="1:7" x14ac:dyDescent="0.3">
      <c r="A71" s="3" t="s">
        <v>67</v>
      </c>
      <c r="C71" s="13"/>
      <c r="D71" s="13"/>
      <c r="E71" s="13"/>
      <c r="F71" s="13"/>
      <c r="G71" s="13"/>
    </row>
    <row r="72" spans="1:7" x14ac:dyDescent="0.3">
      <c r="A72" s="3" t="s">
        <v>68</v>
      </c>
      <c r="C72" s="13"/>
      <c r="D72" s="13"/>
      <c r="E72" s="13"/>
      <c r="F72" s="13"/>
      <c r="G72" s="13"/>
    </row>
    <row r="73" spans="1:7" ht="15" thickBot="1" x14ac:dyDescent="0.35">
      <c r="A73" s="4" t="s">
        <v>69</v>
      </c>
      <c r="C73" s="13"/>
      <c r="D73" s="13"/>
      <c r="E73" s="13"/>
      <c r="F73" s="13"/>
      <c r="G73" s="13"/>
    </row>
    <row r="74" spans="1:7" ht="15" thickBot="1" x14ac:dyDescent="0.35">
      <c r="A74" s="6" t="s">
        <v>70</v>
      </c>
      <c r="C74" s="14"/>
      <c r="D74" s="14"/>
      <c r="E74" s="14"/>
      <c r="F74" s="14"/>
      <c r="G74" s="14"/>
    </row>
    <row r="75" spans="1:7" x14ac:dyDescent="0.3">
      <c r="A75" s="5" t="s">
        <v>71</v>
      </c>
      <c r="C75" s="13"/>
      <c r="D75" s="13"/>
      <c r="E75" s="13"/>
      <c r="F75" s="13"/>
      <c r="G75" s="13"/>
    </row>
    <row r="76" spans="1:7" x14ac:dyDescent="0.3">
      <c r="A76" s="3" t="s">
        <v>72</v>
      </c>
      <c r="C76" s="13"/>
      <c r="D76" s="13"/>
      <c r="E76" s="13"/>
      <c r="F76" s="13"/>
      <c r="G76" s="13"/>
    </row>
    <row r="77" spans="1:7" ht="15" thickBot="1" x14ac:dyDescent="0.35">
      <c r="A77" s="3" t="s">
        <v>73</v>
      </c>
      <c r="C77" s="13"/>
      <c r="D77" s="13"/>
      <c r="E77" s="13"/>
      <c r="F77" s="13"/>
      <c r="G77" s="13"/>
    </row>
    <row r="78" spans="1:7" x14ac:dyDescent="0.3">
      <c r="A78" s="15" t="s">
        <v>75</v>
      </c>
    </row>
    <row r="79" spans="1:7" x14ac:dyDescent="0.3">
      <c r="A79" s="3" t="s">
        <v>9</v>
      </c>
      <c r="C79" s="13">
        <v>1</v>
      </c>
      <c r="D79" s="13">
        <v>1</v>
      </c>
      <c r="E79" s="13">
        <v>1</v>
      </c>
      <c r="F79" s="13">
        <v>1</v>
      </c>
      <c r="G79" s="13">
        <v>1</v>
      </c>
    </row>
    <row r="80" spans="1:7" x14ac:dyDescent="0.3">
      <c r="A80" s="3" t="s">
        <v>76</v>
      </c>
      <c r="C80" s="17">
        <f>C25/C79</f>
        <v>211992000</v>
      </c>
      <c r="D80" s="17">
        <f t="shared" ref="D80:G80" si="0">D25/D79</f>
        <v>211992000</v>
      </c>
      <c r="E80" s="17">
        <f t="shared" si="0"/>
        <v>211992000</v>
      </c>
      <c r="F80" s="17">
        <f t="shared" si="0"/>
        <v>211992000</v>
      </c>
      <c r="G80" s="17">
        <f t="shared" si="0"/>
        <v>211992000</v>
      </c>
    </row>
    <row r="81" spans="3:7" x14ac:dyDescent="0.3">
      <c r="C81" s="16"/>
      <c r="D81" s="16"/>
      <c r="E81" s="16"/>
      <c r="F81" s="16"/>
      <c r="G81" s="16"/>
    </row>
  </sheetData>
  <sheetProtection selectLockedCells="1"/>
  <dataValidations count="2">
    <dataValidation type="date" allowBlank="1" showInputMessage="1" showErrorMessage="1" sqref="B12 B8" xr:uid="{FEEBB165-954D-4A42-9009-AA886AAB0D78}">
      <formula1>1</formula1>
      <formula2>TODAY()</formula2>
    </dataValidation>
    <dataValidation type="custom" allowBlank="1" showInputMessage="1" showErrorMessage="1" sqref="C15:G77" xr:uid="{55D1EC74-32EC-44A0-A2B5-B7C59FA6505F}">
      <formula1>ISNUMBER(C15:G77)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Anirudh Anand</dc:creator>
  <cp:lastModifiedBy>Anirudh Anand</cp:lastModifiedBy>
  <cp:lastPrinted>2022-05-05T14:24:20Z</cp:lastPrinted>
  <dcterms:created xsi:type="dcterms:W3CDTF">2022-05-05T13:48:10Z</dcterms:created>
  <dcterms:modified xsi:type="dcterms:W3CDTF">2022-05-13T10:18:45Z</dcterms:modified>
</cp:coreProperties>
</file>